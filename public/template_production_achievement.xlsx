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V Machining" sheetId="1" r:id="rId5"/>
    <sheet state="visible" name="Data" sheetId="2" r:id="rId6"/>
  </sheets>
  <definedNames>
    <definedName hidden="1" localSheetId="1" name="Z_A9FDC80C_110C_4F87_862A_BEDAF0A0A10D_.wvu.FilterData">Data!$A$6:$M$11</definedName>
    <definedName hidden="1" localSheetId="1" name="Z_7F0633F0_5BE3_4DB6_83F9_89A7D878D73C_.wvu.FilterData">Data!$A$15:$F$25</definedName>
    <definedName hidden="1" localSheetId="1" name="Z_8F353F6E_8A2D_4241_B34E_4B6E25E0F955_.wvu.FilterData">Data!$A$29:$E$38</definedName>
  </definedNames>
  <calcPr/>
  <customWorkbookViews>
    <customWorkbookView activeSheetId="0" maximized="1" windowHeight="0" windowWidth="0" guid="{A9FDC80C-110C-4F87-862A-BEDAF0A0A10D}" name="ProductionDataTable filter view"/>
    <customWorkbookView activeSheetId="0" maximized="1" windowHeight="0" windowWidth="0" guid="{7F0633F0-5BE3-4DB6-83F9-89A7D878D73C}" name="VariantDataTable filter view"/>
    <customWorkbookView activeSheetId="0" maximized="1" windowHeight="0" windowWidth="0" guid="{8F353F6E-8A2D-4241-B34E-4B6E25E0F955}" name="ProblemDataTable filter view"/>
  </customWorkbookViews>
</workbook>
</file>

<file path=xl/sharedStrings.xml><?xml version="1.0" encoding="utf-8"?>
<sst xmlns="http://schemas.openxmlformats.org/spreadsheetml/2006/main" count="148" uniqueCount="81">
  <si>
    <t>PRODUCTION ACHIEVEMENT</t>
  </si>
  <si>
    <t>DAILY REPORT
ACV MACHINING</t>
  </si>
  <si>
    <t>REPORT DATE</t>
  </si>
  <si>
    <t>SHIFT</t>
  </si>
  <si>
    <t>EXPORTED AT</t>
  </si>
  <si>
    <t>ACV MACHINING — DATA SOURCE</t>
  </si>
  <si>
    <t>Structured input for the Production Achievement report</t>
  </si>
  <si>
    <t>Blue text = input data   •   Grey cells = calculated</t>
  </si>
  <si>
    <t>Day</t>
  </si>
  <si>
    <t>PRODUCTION SUMMARY DATA</t>
  </si>
  <si>
    <t>Line</t>
  </si>
  <si>
    <t>TOTAL PLAN</t>
  </si>
  <si>
    <t>TOTAL ACTUAL</t>
  </si>
  <si>
    <t>Production Plan</t>
  </si>
  <si>
    <t>ACHIEVEMENT</t>
  </si>
  <si>
    <t>Production Actual</t>
  </si>
  <si>
    <t>BALANCE</t>
  </si>
  <si>
    <t>Balance</t>
  </si>
  <si>
    <t>AVERAGE OEE</t>
  </si>
  <si>
    <t>Achievement</t>
  </si>
  <si>
    <t>TOTAL STOP TIME</t>
  </si>
  <si>
    <t>OEE Actual</t>
  </si>
  <si>
    <t>OEE Target</t>
  </si>
  <si>
    <t>TT Actual</t>
  </si>
  <si>
    <t>TT Plan</t>
  </si>
  <si>
    <t>OT Actual</t>
  </si>
  <si>
    <t>OT Plan</t>
  </si>
  <si>
    <t>Stop Time (min)</t>
  </si>
  <si>
    <t>Status</t>
  </si>
  <si>
    <t>Assy</t>
  </si>
  <si>
    <t>PRODUCTION SUMMARY</t>
  </si>
  <si>
    <t>Plan</t>
  </si>
  <si>
    <t>Actual</t>
  </si>
  <si>
    <t>OEE</t>
  </si>
  <si>
    <t>Stop Time</t>
  </si>
  <si>
    <t>Cylinder Block</t>
  </si>
  <si>
    <t>Cylinder Head</t>
  </si>
  <si>
    <t>Crankshaft</t>
  </si>
  <si>
    <t>Camshaft</t>
  </si>
  <si>
    <t>VARIANT DATA</t>
  </si>
  <si>
    <t>Variant</t>
  </si>
  <si>
    <t>1TR</t>
  </si>
  <si>
    <t>TOTAL / AVERAGE</t>
  </si>
  <si>
    <t>2TR</t>
  </si>
  <si>
    <t>VARIANT DETAILS</t>
  </si>
  <si>
    <t>ASSY</t>
  </si>
  <si>
    <t>CYLINDER BLOCK</t>
  </si>
  <si>
    <t>CYLINDER HEAD</t>
  </si>
  <si>
    <t>CRANKSHAFT</t>
  </si>
  <si>
    <t>CAMSHAFT</t>
  </si>
  <si>
    <t>Plan / Actual</t>
  </si>
  <si>
    <t>IN</t>
  </si>
  <si>
    <t>EX</t>
  </si>
  <si>
    <t>PROBLEM DATA — GROUPED BY LINE</t>
  </si>
  <si>
    <t>Category</t>
  </si>
  <si>
    <t>Problem</t>
  </si>
  <si>
    <t>Duration (min)</t>
  </si>
  <si>
    <t>Remarks</t>
  </si>
  <si>
    <t>AV</t>
  </si>
  <si>
    <t>PROBLEM LOG</t>
  </si>
  <si>
    <t>Machine stop</t>
  </si>
  <si>
    <t>Auto transfer interruption</t>
  </si>
  <si>
    <t>PE</t>
  </si>
  <si>
    <t>Waiting material</t>
  </si>
  <si>
    <t>Material arrival delay</t>
  </si>
  <si>
    <t>Tool abnormality</t>
  </si>
  <si>
    <t>Tool inspection required</t>
  </si>
  <si>
    <t>Tool change</t>
  </si>
  <si>
    <t>Scheduled tool replacement</t>
  </si>
  <si>
    <t>RQ</t>
  </si>
  <si>
    <t>Casting defect</t>
  </si>
  <si>
    <t>Casting quality finding</t>
  </si>
  <si>
    <t>Machine adjustment</t>
  </si>
  <si>
    <t>Adjustment and trial cycle</t>
  </si>
  <si>
    <t>Quality confirmation</t>
  </si>
  <si>
    <t>Additional inspection</t>
  </si>
  <si>
    <t>Process confirmation</t>
  </si>
  <si>
    <t>Parameter confirmation</t>
  </si>
  <si>
    <t>Surface defect</t>
  </si>
  <si>
    <t>Surface condition finding</t>
  </si>
  <si>
    <t>Template note: replace the blue input values with data for the selected date and shift. Do not overwrite the grey formula columns (Balance, Achievement, and Status).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</si>
</sst>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 mmm yyyy"/>
    <numFmt numFmtId="165" formatCode="dd mmm yyyy, hh:mm"/>
    <numFmt numFmtId="166" formatCode="0.0%"/>
    <numFmt numFmtId="167" formatCode="+0;-0;0"/>
    <numFmt numFmtId="168" formatCode="0.0 &quot;min&quot;"/>
    <numFmt numFmtId="169" formatCode="0.0"/>
  </numFmts>
  <fonts count="12">
    <font>
      <sz val="10.0"/>
      <color rgb="FF1F2937"/>
      <name val="Aptos"/>
      <scheme val="minor"/>
    </font>
    <font>
      <b/>
      <sz val="10.0"/>
      <color rgb="FFFFFFFF"/>
      <name val="Aptos"/>
    </font>
    <font>
      <b/>
      <sz val="10.0"/>
      <color rgb="FF64748B"/>
      <name val="Aptos"/>
    </font>
    <font/>
    <font>
      <b/>
      <sz val="10.0"/>
      <color rgb="FF0F172A"/>
      <name val="Aptos"/>
    </font>
    <font>
      <sz val="10.0"/>
      <color rgb="FFC7D2E2"/>
      <name val="Aptos"/>
    </font>
    <font>
      <i/>
      <sz val="10.0"/>
      <color rgb="FFFFFFFF"/>
      <name val="Aptos"/>
    </font>
    <font>
      <b/>
      <sz val="10.0"/>
      <color rgb="FF2563EB"/>
      <name val="Aptos"/>
    </font>
    <font>
      <sz val="10.0"/>
      <color rgb="FF2563EB"/>
      <name val="Aptos"/>
    </font>
    <font>
      <sz val="10.0"/>
      <color rgb="FF1F2937"/>
      <name val="Aptos"/>
    </font>
    <font>
      <sz val="10.0"/>
      <color rgb="FF243247"/>
      <name val="Aptos"/>
    </font>
    <font>
      <i/>
      <sz val="10.0"/>
      <color rgb="FFA56600"/>
      <name val="Aptos"/>
    </font>
  </fonts>
  <fills count="9">
    <fill>
      <patternFill patternType="none"/>
    </fill>
    <fill>
      <patternFill patternType="lightGray"/>
    </fill>
    <fill>
      <patternFill patternType="solid">
        <fgColor rgb="FF0F172A"/>
        <bgColor rgb="FF0F172A"/>
      </patternFill>
    </fill>
    <fill>
      <patternFill patternType="solid">
        <fgColor rgb="FFE50020"/>
        <bgColor rgb="FFE50020"/>
      </patternFill>
    </fill>
    <fill>
      <patternFill patternType="solid">
        <fgColor rgb="FFEEF3F8"/>
        <bgColor rgb="FFEEF3F8"/>
      </patternFill>
    </fill>
    <fill>
      <patternFill patternType="solid">
        <fgColor rgb="FFFFFFFF"/>
        <bgColor rgb="FFFFFFFF"/>
      </patternFill>
    </fill>
    <fill>
      <patternFill patternType="solid">
        <fgColor rgb="FF162033"/>
        <bgColor rgb="FF162033"/>
      </patternFill>
    </fill>
    <fill>
      <patternFill patternType="solid">
        <fgColor rgb="FFF8FAFC"/>
        <bgColor rgb="FFF8FAFC"/>
      </patternFill>
    </fill>
    <fill>
      <patternFill patternType="solid">
        <fgColor rgb="FFFFF5DD"/>
        <bgColor rgb="FFFFF5DD"/>
      </patternFill>
    </fill>
  </fills>
  <borders count="31">
    <border/>
    <border>
      <left style="thin">
        <color rgb="FFD9E2EC"/>
      </left>
      <top style="thin">
        <color rgb="FFD9E2EC"/>
      </top>
    </border>
    <border>
      <top style="thin">
        <color rgb="FFD9E2EC"/>
      </top>
    </border>
    <border>
      <right style="thin">
        <color rgb="FFD9E2EC"/>
      </right>
      <top style="thin">
        <color rgb="FFD9E2EC"/>
      </top>
    </border>
    <border>
      <left style="thin">
        <color rgb="FFD9E2EC"/>
      </left>
    </border>
    <border>
      <right style="thin">
        <color rgb="FFD9E2EC"/>
      </right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</border>
    <border>
      <bottom style="medium">
        <color rgb="FFE50020"/>
      </bottom>
    </border>
    <border>
      <left style="thin">
        <color rgb="FFD9E2EC"/>
      </left>
      <bottom style="thin">
        <color rgb="FFD9E2EC"/>
      </bottom>
    </border>
    <border>
      <bottom style="thin">
        <color rgb="FFD9E2EC"/>
      </bottom>
    </border>
    <border>
      <right style="thin">
        <color rgb="FFD9E2EC"/>
      </right>
      <bottom style="thin">
        <color rgb="FFD9E2EC"/>
      </bottom>
    </border>
    <border>
      <left style="thin">
        <color rgb="FFD9E2EC"/>
      </left>
      <top style="medium">
        <color rgb="FF2563EB"/>
      </top>
    </border>
    <border>
      <right style="thin">
        <color rgb="FFD9E2EC"/>
      </right>
      <top style="medium">
        <color rgb="FF2563EB"/>
      </top>
    </border>
    <border>
      <left style="thin">
        <color rgb="FF30415C"/>
      </left>
      <right style="thin">
        <color rgb="FF30415C"/>
      </right>
      <top style="thin">
        <color rgb="FF30415C"/>
      </top>
      <bottom style="thin">
        <color rgb="FF30415C"/>
      </bottom>
    </border>
    <border>
      <left style="thin">
        <color rgb="FFD9E2EC"/>
      </left>
      <top style="medium">
        <color rgb="FF0B8F55"/>
      </top>
    </border>
    <border>
      <right style="thin">
        <color rgb="FFD9E2EC"/>
      </right>
      <top style="medium">
        <color rgb="FF0B8F55"/>
      </top>
    </border>
    <border>
      <left style="thin">
        <color rgb="FFD9E2EC"/>
      </left>
      <top style="medium">
        <color rgb="FFE50020"/>
      </top>
    </border>
    <border>
      <top style="medium">
        <color rgb="FFE50020"/>
      </top>
    </border>
    <border>
      <right style="thin">
        <color rgb="FFD9E2EC"/>
      </right>
      <top style="medium">
        <color rgb="FFE50020"/>
      </top>
    </border>
    <border>
      <top style="medium">
        <color rgb="FF2563EB"/>
      </top>
    </border>
    <border>
      <left style="thin">
        <color rgb="FFD9E2EC"/>
      </left>
      <top style="medium">
        <color rgb="FFA56600"/>
      </top>
    </border>
    <border>
      <right style="thin">
        <color rgb="FFD9E2EC"/>
      </right>
      <top style="medium">
        <color rgb="FFA56600"/>
      </top>
    </border>
    <border>
      <left style="thin">
        <color rgb="FF30415C"/>
      </left>
      <top style="thin">
        <color rgb="FF30415C"/>
      </top>
      <bottom style="thin">
        <color rgb="FF30415C"/>
      </bottom>
    </border>
    <border>
      <right style="thin">
        <color rgb="FF30415C"/>
      </right>
      <top style="thin">
        <color rgb="FF30415C"/>
      </top>
      <bottom style="thin">
        <color rgb="FF30415C"/>
      </bottom>
    </border>
    <border>
      <left style="thin">
        <color rgb="FFD9E2EC"/>
      </left>
      <top style="thin">
        <color rgb="FFD9E2EC"/>
      </top>
      <bottom style="thin">
        <color rgb="FFD9E2EC"/>
      </bottom>
    </border>
    <border>
      <top style="thin">
        <color rgb="FFD9E2EC"/>
      </top>
      <bottom style="thin">
        <color rgb="FFD9E2EC"/>
      </bottom>
    </border>
    <border>
      <right style="thin">
        <color rgb="FFD9E2EC"/>
      </right>
      <top style="thin">
        <color rgb="FFD9E2EC"/>
      </top>
      <bottom style="thin">
        <color rgb="FFD9E2EC"/>
      </bottom>
    </border>
    <border>
      <left style="thin">
        <color rgb="FFD9E2EC"/>
      </left>
      <top style="medium">
        <color rgb="FF0F172A"/>
      </top>
      <bottom style="thin">
        <color rgb="FFD9E2EC"/>
      </bottom>
    </border>
    <border>
      <top style="medium">
        <color rgb="FF0F172A"/>
      </top>
      <bottom style="thin">
        <color rgb="FFD9E2EC"/>
      </bottom>
    </border>
    <border>
      <right style="thin">
        <color rgb="FFD9E2EC"/>
      </right>
      <top style="medium">
        <color rgb="FF0F172A"/>
      </top>
      <bottom style="thin">
        <color rgb="FFD9E2EC"/>
      </bottom>
    </border>
    <border>
      <left style="thin">
        <color rgb="FF30415C"/>
      </left>
      <top style="thin">
        <color rgb="FFD9E2EC"/>
      </top>
      <bottom style="thin">
        <color rgb="FFD9E2EC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1" numFmtId="0" xfId="0" applyAlignment="1" applyFill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5" fontId="4" numFmtId="164" xfId="0" applyAlignment="1" applyBorder="1" applyFill="1" applyFont="1" applyNumberFormat="1">
      <alignment horizontal="center" vertical="center"/>
    </xf>
    <xf borderId="0" fillId="6" fontId="5" numFmtId="0" xfId="0" applyAlignment="1" applyFill="1" applyFont="1">
      <alignment vertical="center"/>
    </xf>
    <xf borderId="5" fillId="0" fontId="3" numFmtId="0" xfId="0" applyBorder="1" applyFont="1"/>
    <xf borderId="0" fillId="6" fontId="6" numFmtId="0" xfId="0" applyAlignment="1" applyFont="1">
      <alignment horizontal="right" vertical="center"/>
    </xf>
    <xf borderId="6" fillId="4" fontId="2" numFmtId="0" xfId="0" applyAlignment="1" applyBorder="1" applyFont="1">
      <alignment vertical="center"/>
    </xf>
    <xf borderId="6" fillId="5" fontId="7" numFmtId="164" xfId="0" applyAlignment="1" applyBorder="1" applyFont="1" applyNumberFormat="1">
      <alignment vertical="center"/>
    </xf>
    <xf borderId="4" fillId="5" fontId="4" numFmtId="49" xfId="0" applyAlignment="1" applyBorder="1" applyFont="1" applyNumberFormat="1">
      <alignment horizontal="center" vertical="center"/>
    </xf>
    <xf borderId="6" fillId="5" fontId="7" numFmtId="0" xfId="0" applyAlignment="1" applyBorder="1" applyFont="1">
      <alignment vertical="center"/>
    </xf>
    <xf borderId="6" fillId="5" fontId="7" numFmtId="165" xfId="0" applyAlignment="1" applyBorder="1" applyFont="1" applyNumberFormat="1">
      <alignment vertical="center"/>
    </xf>
    <xf borderId="4" fillId="5" fontId="4" numFmtId="165" xfId="0" applyAlignment="1" applyBorder="1" applyFont="1" applyNumberFormat="1">
      <alignment horizontal="center" vertical="center"/>
    </xf>
    <xf borderId="7" fillId="4" fontId="4" numFmtId="0" xfId="0" applyAlignment="1" applyBorder="1" applyFont="1">
      <alignment horizontal="left" vertical="center"/>
    </xf>
    <xf borderId="8" fillId="0" fontId="3" numFmtId="0" xfId="0" applyBorder="1" applyFont="1"/>
    <xf borderId="7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11" fillId="5" fontId="2" numFmtId="0" xfId="0" applyAlignment="1" applyBorder="1" applyFont="1">
      <alignment horizontal="center" vertical="center"/>
    </xf>
    <xf borderId="12" fillId="0" fontId="3" numFmtId="0" xfId="0" applyBorder="1" applyFont="1"/>
    <xf borderId="13" fillId="6" fontId="1" numFmtId="0" xfId="0" applyAlignment="1" applyBorder="1" applyFont="1">
      <alignment horizontal="center" readingOrder="0" shrinkToFit="0" vertical="center" wrapText="1"/>
    </xf>
    <xf borderId="14" fillId="5" fontId="2" numFmtId="0" xfId="0" applyAlignment="1" applyBorder="1" applyFont="1">
      <alignment horizontal="center" vertical="center"/>
    </xf>
    <xf borderId="15" fillId="0" fontId="3" numFmtId="0" xfId="0" applyBorder="1" applyFont="1"/>
    <xf borderId="16" fillId="5" fontId="2" numFmtId="0" xfId="0" applyAlignment="1" applyBorder="1" applyFont="1">
      <alignment horizontal="center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5" fontId="2" numFmtId="0" xfId="0" applyAlignment="1" applyBorder="1" applyFont="1">
      <alignment horizontal="center" vertical="center"/>
    </xf>
    <xf borderId="21" fillId="0" fontId="3" numFmtId="0" xfId="0" applyBorder="1" applyFont="1"/>
    <xf borderId="4" fillId="5" fontId="4" numFmtId="3" xfId="0" applyAlignment="1" applyBorder="1" applyFont="1" applyNumberFormat="1">
      <alignment horizontal="center" vertical="center"/>
    </xf>
    <xf borderId="4" fillId="5" fontId="4" numFmtId="166" xfId="0" applyAlignment="1" applyBorder="1" applyFont="1" applyNumberFormat="1">
      <alignment horizontal="center" vertical="center"/>
    </xf>
    <xf borderId="4" fillId="5" fontId="4" numFmtId="167" xfId="0" applyAlignment="1" applyBorder="1" applyFont="1" applyNumberFormat="1">
      <alignment horizontal="center" vertical="center"/>
    </xf>
    <xf borderId="0" fillId="0" fontId="8" numFmtId="0" xfId="0" applyAlignment="1" applyFont="1">
      <alignment shrinkToFit="0" vertical="center" wrapText="0"/>
    </xf>
    <xf borderId="4" fillId="5" fontId="4" numFmtId="168" xfId="0" applyAlignment="1" applyBorder="1" applyFont="1" applyNumberFormat="1">
      <alignment horizontal="center" vertical="center"/>
    </xf>
    <xf borderId="0" fillId="0" fontId="8" numFmtId="3" xfId="0" applyAlignment="1" applyFont="1" applyNumberFormat="1">
      <alignment shrinkToFit="0" vertical="center" wrapText="0"/>
    </xf>
    <xf borderId="0" fillId="4" fontId="9" numFmtId="167" xfId="0" applyAlignment="1" applyFont="1" applyNumberFormat="1">
      <alignment shrinkToFit="0" vertical="center" wrapText="0"/>
    </xf>
    <xf borderId="22" fillId="6" fontId="1" numFmtId="0" xfId="0" applyAlignment="1" applyBorder="1" applyFont="1">
      <alignment horizontal="center" shrinkToFit="0" vertical="center" wrapText="1"/>
    </xf>
    <xf borderId="23" fillId="0" fontId="3" numFmtId="0" xfId="0" applyBorder="1" applyFont="1"/>
    <xf borderId="13" fillId="6" fontId="1" numFmtId="0" xfId="0" applyAlignment="1" applyBorder="1" applyFont="1">
      <alignment horizontal="center" shrinkToFit="0" vertical="center" wrapText="1"/>
    </xf>
    <xf borderId="0" fillId="4" fontId="9" numFmtId="166" xfId="0" applyAlignment="1" applyFont="1" applyNumberFormat="1">
      <alignment shrinkToFit="0" vertical="center" wrapText="0"/>
    </xf>
    <xf borderId="0" fillId="0" fontId="8" numFmtId="166" xfId="0" applyAlignment="1" applyFont="1" applyNumberFormat="1">
      <alignment shrinkToFit="0" vertical="center" wrapText="0"/>
    </xf>
    <xf borderId="0" fillId="0" fontId="8" numFmtId="2" xfId="0" applyAlignment="1" applyFont="1" applyNumberFormat="1">
      <alignment shrinkToFit="0" vertical="center" wrapText="0"/>
    </xf>
    <xf borderId="0" fillId="0" fontId="8" numFmtId="169" xfId="0" applyAlignment="1" applyFont="1" applyNumberFormat="1">
      <alignment shrinkToFit="0" vertical="center" wrapText="0"/>
    </xf>
    <xf borderId="24" fillId="5" fontId="4" numFmtId="0" xfId="0" applyAlignment="1" applyBorder="1" applyFont="1">
      <alignment vertical="center"/>
    </xf>
    <xf borderId="0" fillId="4" fontId="9" numFmtId="0" xfId="0" applyAlignment="1" applyFont="1">
      <alignment shrinkToFit="0" vertical="center" wrapText="0"/>
    </xf>
    <xf borderId="25" fillId="0" fontId="3" numFmtId="0" xfId="0" applyBorder="1" applyFont="1"/>
    <xf borderId="25" fillId="5" fontId="10" numFmtId="3" xfId="0" applyAlignment="1" applyBorder="1" applyFont="1" applyNumberFormat="1">
      <alignment horizontal="center" vertical="center"/>
    </xf>
    <xf borderId="25" fillId="5" fontId="10" numFmtId="166" xfId="0" applyAlignment="1" applyBorder="1" applyFont="1" applyNumberFormat="1">
      <alignment horizontal="center" vertical="center"/>
    </xf>
    <xf borderId="25" fillId="5" fontId="10" numFmtId="167" xfId="0" applyAlignment="1" applyBorder="1" applyFont="1" applyNumberFormat="1">
      <alignment horizontal="center" vertical="center"/>
    </xf>
    <xf borderId="25" fillId="5" fontId="10" numFmtId="2" xfId="0" applyAlignment="1" applyBorder="1" applyFont="1" applyNumberFormat="1">
      <alignment horizontal="center" vertical="center"/>
    </xf>
    <xf borderId="25" fillId="5" fontId="10" numFmtId="168" xfId="0" applyAlignment="1" applyBorder="1" applyFont="1" applyNumberFormat="1">
      <alignment horizontal="center" vertical="center"/>
    </xf>
    <xf borderId="25" fillId="5" fontId="10" numFmtId="0" xfId="0" applyAlignment="1" applyBorder="1" applyFont="1">
      <alignment horizontal="center" vertical="center"/>
    </xf>
    <xf borderId="26" fillId="0" fontId="3" numFmtId="0" xfId="0" applyBorder="1" applyFont="1"/>
    <xf borderId="24" fillId="7" fontId="4" numFmtId="0" xfId="0" applyAlignment="1" applyBorder="1" applyFill="1" applyFont="1">
      <alignment vertical="center"/>
    </xf>
    <xf borderId="25" fillId="7" fontId="10" numFmtId="3" xfId="0" applyAlignment="1" applyBorder="1" applyFont="1" applyNumberFormat="1">
      <alignment horizontal="center" vertical="center"/>
    </xf>
    <xf borderId="25" fillId="7" fontId="10" numFmtId="166" xfId="0" applyAlignment="1" applyBorder="1" applyFont="1" applyNumberFormat="1">
      <alignment horizontal="center" vertical="center"/>
    </xf>
    <xf borderId="25" fillId="7" fontId="10" numFmtId="167" xfId="0" applyAlignment="1" applyBorder="1" applyFont="1" applyNumberFormat="1">
      <alignment horizontal="center" vertical="center"/>
    </xf>
    <xf borderId="25" fillId="7" fontId="10" numFmtId="2" xfId="0" applyAlignment="1" applyBorder="1" applyFont="1" applyNumberFormat="1">
      <alignment horizontal="center" vertical="center"/>
    </xf>
    <xf borderId="25" fillId="7" fontId="10" numFmtId="168" xfId="0" applyAlignment="1" applyBorder="1" applyFont="1" applyNumberFormat="1">
      <alignment horizontal="center" vertical="center"/>
    </xf>
    <xf borderId="25" fillId="7" fontId="10" numFmtId="0" xfId="0" applyAlignment="1" applyBorder="1" applyFont="1">
      <alignment horizontal="center" vertical="center"/>
    </xf>
    <xf borderId="27" fillId="4" fontId="4" numFmtId="0" xfId="0" applyAlignment="1" applyBorder="1" applyFont="1">
      <alignment horizontal="center" vertical="center"/>
    </xf>
    <xf borderId="28" fillId="0" fontId="3" numFmtId="0" xfId="0" applyBorder="1" applyFont="1"/>
    <xf borderId="28" fillId="4" fontId="4" numFmtId="3" xfId="0" applyAlignment="1" applyBorder="1" applyFont="1" applyNumberFormat="1">
      <alignment horizontal="center" vertical="center"/>
    </xf>
    <xf borderId="28" fillId="4" fontId="4" numFmtId="166" xfId="0" applyAlignment="1" applyBorder="1" applyFont="1" applyNumberFormat="1">
      <alignment horizontal="center" vertical="center"/>
    </xf>
    <xf borderId="28" fillId="4" fontId="4" numFmtId="167" xfId="0" applyAlignment="1" applyBorder="1" applyFont="1" applyNumberFormat="1">
      <alignment horizontal="center" vertical="center"/>
    </xf>
    <xf borderId="28" fillId="4" fontId="4" numFmtId="0" xfId="0" applyAlignment="1" applyBorder="1" applyFont="1">
      <alignment horizontal="center" vertical="center"/>
    </xf>
    <xf borderId="28" fillId="4" fontId="4" numFmtId="2" xfId="0" applyAlignment="1" applyBorder="1" applyFont="1" applyNumberFormat="1">
      <alignment horizontal="center" vertical="center"/>
    </xf>
    <xf borderId="28" fillId="4" fontId="4" numFmtId="168" xfId="0" applyAlignment="1" applyBorder="1" applyFont="1" applyNumberFormat="1">
      <alignment horizontal="center" vertical="center"/>
    </xf>
    <xf borderId="29" fillId="0" fontId="3" numFmtId="0" xfId="0" applyBorder="1" applyFont="1"/>
    <xf borderId="24" fillId="6" fontId="1" numFmtId="0" xfId="0" applyAlignment="1" applyBorder="1" applyFont="1">
      <alignment horizontal="center" shrinkToFit="0" vertical="center" wrapText="1"/>
    </xf>
    <xf borderId="6" fillId="4" fontId="2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 vertical="center"/>
    </xf>
    <xf borderId="6" fillId="5" fontId="10" numFmtId="167" xfId="0" applyAlignment="1" applyBorder="1" applyFont="1" applyNumberFormat="1">
      <alignment horizontal="center" vertical="center"/>
    </xf>
    <xf borderId="6" fillId="7" fontId="10" numFmtId="0" xfId="0" applyAlignment="1" applyBorder="1" applyFont="1">
      <alignment horizontal="center" vertical="center"/>
    </xf>
    <xf borderId="6" fillId="7" fontId="10" numFmtId="167" xfId="0" applyAlignment="1" applyBorder="1" applyFont="1" applyNumberFormat="1">
      <alignment horizontal="center" vertical="center"/>
    </xf>
    <xf borderId="0" fillId="0" fontId="8" numFmtId="0" xfId="0" applyAlignment="1" applyFont="1">
      <alignment shrinkToFit="0" vertical="center" wrapText="1"/>
    </xf>
    <xf borderId="30" fillId="6" fontId="1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25" fillId="5" fontId="10" numFmtId="0" xfId="0" applyAlignment="1" applyBorder="1" applyFont="1">
      <alignment vertical="center"/>
    </xf>
    <xf borderId="25" fillId="5" fontId="10" numFmtId="169" xfId="0" applyAlignment="1" applyBorder="1" applyFont="1" applyNumberFormat="1">
      <alignment horizontal="center" vertical="center"/>
    </xf>
    <xf borderId="1" fillId="7" fontId="4" numFmtId="0" xfId="0" applyAlignment="1" applyBorder="1" applyFont="1">
      <alignment horizontal="center" shrinkToFit="0" vertical="center" wrapText="1"/>
    </xf>
    <xf borderId="24" fillId="5" fontId="4" numFmtId="0" xfId="0" applyAlignment="1" applyBorder="1" applyFont="1">
      <alignment horizontal="center" shrinkToFit="0" vertical="center" wrapText="1"/>
    </xf>
    <xf borderId="1" fillId="8" fontId="11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C62828"/>
      </font>
      <fill>
        <patternFill patternType="solid">
          <fgColor rgb="FFFDEBEC"/>
          <bgColor rgb="FFFDEBEC"/>
        </patternFill>
      </fill>
      <border/>
    </dxf>
    <dxf>
      <font>
        <b/>
        <color rgb="FF0B8F55"/>
      </font>
      <fill>
        <patternFill patternType="solid">
          <fgColor rgb="FFE7F7EF"/>
          <bgColor rgb="FFE7F7EF"/>
        </patternFill>
      </fill>
      <border/>
    </dxf>
    <dxf>
      <font>
        <b/>
        <color rgb="FFA56600"/>
      </font>
      <fill>
        <patternFill patternType="solid">
          <fgColor rgb="FFFFF5DD"/>
          <bgColor rgb="FFFFF5DD"/>
        </patternFill>
      </fill>
      <border/>
    </dxf>
    <dxf>
      <font>
        <b/>
        <color rgb="FF2563EB"/>
      </font>
      <fill>
        <patternFill patternType="solid">
          <fgColor rgb="FFEDF2FF"/>
          <bgColor rgb="FFEDF2FF"/>
        </patternFill>
      </fill>
      <border/>
    </dxf>
  </dxfs>
  <tableStyles count="3">
    <tableStyle count="4" pivot="0" name="Dat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M11" displayName="ProductionDataTable" name="ProductionDataTable" id="1">
  <tableColumns count="13">
    <tableColumn name="Line" id="1"/>
    <tableColumn name="Production Plan" id="2"/>
    <tableColumn name="Production Actual" id="3"/>
    <tableColumn name="Balance" id="4"/>
    <tableColumn name="Achievement" id="5"/>
    <tableColumn name="OEE Actual" id="6"/>
    <tableColumn name="OEE Target" id="7"/>
    <tableColumn name="TT Actual" id="8"/>
    <tableColumn name="TT Plan" id="9"/>
    <tableColumn name="OT Actual" id="10"/>
    <tableColumn name="OT Plan" id="11"/>
    <tableColumn name="Stop Time (min)" id="12"/>
    <tableColumn name="Status" id="13"/>
  </tableColumns>
  <tableStyleInfo name="Data-style" showColumnStripes="0" showFirstColumn="1" showLastColumn="1" showRowStripes="1"/>
</table>
</file>

<file path=xl/tables/table2.xml><?xml version="1.0" encoding="utf-8"?>
<table xmlns="http://schemas.openxmlformats.org/spreadsheetml/2006/main" ref="A15:F25" displayName="VariantDataTable" name="VariantDataTable" id="2">
  <tableColumns count="6">
    <tableColumn name="Line" id="1"/>
    <tableColumn name="Variant" id="2"/>
    <tableColumn name="Production Plan" id="3"/>
    <tableColumn name="Production Actual" id="4"/>
    <tableColumn name="Balance" id="5"/>
    <tableColumn name="Achievement" id="6"/>
  </tableColumns>
  <tableStyleInfo name="Data-style 2" showColumnStripes="0" showFirstColumn="1" showLastColumn="1" showRowStripes="1"/>
</table>
</file>

<file path=xl/tables/table3.xml><?xml version="1.0" encoding="utf-8"?>
<table xmlns="http://schemas.openxmlformats.org/spreadsheetml/2006/main" ref="A29:E38" displayName="ProblemDataTable" name="ProblemDataTable" id="3">
  <tableColumns count="5">
    <tableColumn name="Category" id="1"/>
    <tableColumn name="Line" id="2"/>
    <tableColumn name="Problem" id="3"/>
    <tableColumn name="Duration (min)" id="4"/>
    <tableColumn name="Remarks" id="5"/>
  </tableColumns>
  <tableStyleInfo name="Data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"/>
        <a:ea typeface="Aptos"/>
        <a:cs typeface="Aptos"/>
      </a:majorFont>
      <a:minorFont>
        <a:latin typeface="Aptos"/>
        <a:ea typeface="Aptos"/>
        <a:cs typeface="Apto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2" width="11.0"/>
    <col customWidth="1" min="13" max="15" width="12.0"/>
  </cols>
  <sheetData>
    <row r="1" ht="27.75" customHeight="1">
      <c r="A1" s="1" t="s">
        <v>0</v>
      </c>
      <c r="L1" s="2" t="s">
        <v>1</v>
      </c>
    </row>
    <row r="2" ht="27.75" customHeight="1"/>
    <row r="3" ht="18.0" customHeight="1">
      <c r="A3" s="3" t="s">
        <v>2</v>
      </c>
      <c r="B3" s="4"/>
      <c r="C3" s="4"/>
      <c r="D3" s="4"/>
      <c r="E3" s="5"/>
      <c r="F3" s="3" t="s">
        <v>3</v>
      </c>
      <c r="G3" s="4"/>
      <c r="H3" s="4"/>
      <c r="I3" s="4"/>
      <c r="J3" s="5"/>
      <c r="K3" s="3" t="s">
        <v>4</v>
      </c>
      <c r="L3" s="4"/>
      <c r="M3" s="4"/>
      <c r="N3" s="4"/>
      <c r="O3" s="5"/>
    </row>
    <row r="4" ht="24.75" customHeight="1">
      <c r="A4" s="6">
        <f>Data!B3</f>
        <v>46227</v>
      </c>
      <c r="E4" s="8"/>
      <c r="F4" s="12" t="str">
        <f>Data!D3</f>
        <v>Day</v>
      </c>
      <c r="J4" s="8"/>
      <c r="K4" s="15">
        <f>Data!F3</f>
        <v>46227.3875</v>
      </c>
      <c r="O4" s="8"/>
    </row>
    <row r="5" ht="24.75" customHeight="1">
      <c r="A5" s="17"/>
      <c r="B5" s="19"/>
      <c r="C5" s="19"/>
      <c r="D5" s="19"/>
      <c r="E5" s="20"/>
      <c r="F5" s="17"/>
      <c r="G5" s="19"/>
      <c r="H5" s="19"/>
      <c r="I5" s="19"/>
      <c r="J5" s="20"/>
      <c r="K5" s="17"/>
      <c r="L5" s="19"/>
      <c r="M5" s="19"/>
      <c r="N5" s="19"/>
      <c r="O5" s="20"/>
    </row>
    <row r="6" ht="7.5" customHeight="1"/>
    <row r="7" ht="18.0" customHeight="1">
      <c r="A7" s="21" t="s">
        <v>11</v>
      </c>
      <c r="B7" s="22"/>
      <c r="C7" s="24" t="s">
        <v>12</v>
      </c>
      <c r="D7" s="25"/>
      <c r="E7" s="26" t="s">
        <v>14</v>
      </c>
      <c r="F7" s="27"/>
      <c r="G7" s="28"/>
      <c r="H7" s="26" t="s">
        <v>16</v>
      </c>
      <c r="I7" s="27"/>
      <c r="J7" s="28"/>
      <c r="K7" s="21" t="s">
        <v>18</v>
      </c>
      <c r="L7" s="29"/>
      <c r="M7" s="22"/>
      <c r="N7" s="30" t="s">
        <v>20</v>
      </c>
      <c r="O7" s="31"/>
    </row>
    <row r="8" ht="24.75" customHeight="1">
      <c r="A8" s="32">
        <f>C18</f>
        <v>1823</v>
      </c>
      <c r="B8" s="8"/>
      <c r="C8" s="32">
        <f>D18</f>
        <v>1648</v>
      </c>
      <c r="D8" s="8"/>
      <c r="E8" s="33">
        <f>E18</f>
        <v>0.9040043884</v>
      </c>
      <c r="G8" s="8"/>
      <c r="H8" s="34">
        <f>F18</f>
        <v>-175</v>
      </c>
      <c r="J8" s="8"/>
      <c r="K8" s="33">
        <f>G18</f>
        <v>0.8532</v>
      </c>
      <c r="M8" s="8"/>
      <c r="N8" s="36">
        <f>M18</f>
        <v>228.2</v>
      </c>
      <c r="O8" s="8"/>
    </row>
    <row r="9" ht="24.75" customHeight="1">
      <c r="A9" s="17"/>
      <c r="B9" s="20"/>
      <c r="C9" s="17"/>
      <c r="D9" s="20"/>
      <c r="E9" s="17"/>
      <c r="F9" s="19"/>
      <c r="G9" s="20"/>
      <c r="H9" s="17"/>
      <c r="I9" s="19"/>
      <c r="J9" s="20"/>
      <c r="K9" s="17"/>
      <c r="L9" s="19"/>
      <c r="M9" s="20"/>
      <c r="N9" s="17"/>
      <c r="O9" s="20"/>
    </row>
    <row r="10" ht="7.5" customHeight="1"/>
    <row r="11" ht="24.0" customHeight="1">
      <c r="A11" s="16" t="s">
        <v>30</v>
      </c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ht="33.75" customHeight="1">
      <c r="A12" s="39" t="s">
        <v>10</v>
      </c>
      <c r="B12" s="40"/>
      <c r="C12" s="41" t="s">
        <v>31</v>
      </c>
      <c r="D12" s="41" t="s">
        <v>32</v>
      </c>
      <c r="E12" s="41" t="s">
        <v>19</v>
      </c>
      <c r="F12" s="41" t="s">
        <v>17</v>
      </c>
      <c r="G12" s="41" t="s">
        <v>33</v>
      </c>
      <c r="H12" s="41" t="s">
        <v>22</v>
      </c>
      <c r="I12" s="41" t="s">
        <v>23</v>
      </c>
      <c r="J12" s="41" t="s">
        <v>24</v>
      </c>
      <c r="K12" s="41" t="s">
        <v>25</v>
      </c>
      <c r="L12" s="41" t="s">
        <v>26</v>
      </c>
      <c r="M12" s="41" t="s">
        <v>34</v>
      </c>
      <c r="N12" s="39" t="s">
        <v>28</v>
      </c>
      <c r="O12" s="40"/>
    </row>
    <row r="13">
      <c r="A13" s="46" t="str">
        <f>Data!A7</f>
        <v>Assy</v>
      </c>
      <c r="B13" s="48"/>
      <c r="C13" s="49">
        <f>Data!B7</f>
        <v>147</v>
      </c>
      <c r="D13" s="49">
        <f>Data!C7</f>
        <v>147</v>
      </c>
      <c r="E13" s="50">
        <f>Data!E7</f>
        <v>1</v>
      </c>
      <c r="F13" s="51">
        <f>Data!D7</f>
        <v>0</v>
      </c>
      <c r="G13" s="50">
        <f>Data!F7</f>
        <v>0.98</v>
      </c>
      <c r="H13" s="50">
        <f>Data!G7</f>
        <v>0.98</v>
      </c>
      <c r="I13" s="52">
        <f>Data!H7</f>
        <v>3</v>
      </c>
      <c r="J13" s="52">
        <f>Data!I7</f>
        <v>3</v>
      </c>
      <c r="K13" s="52">
        <f>Data!J7</f>
        <v>0</v>
      </c>
      <c r="L13" s="52">
        <f>Data!K7</f>
        <v>0</v>
      </c>
      <c r="M13" s="53">
        <f>Data!L7</f>
        <v>3</v>
      </c>
      <c r="N13" s="54" t="str">
        <f>Data!M7</f>
        <v>ON TARGET</v>
      </c>
      <c r="O13" s="55"/>
    </row>
    <row r="14">
      <c r="A14" s="56" t="str">
        <f>Data!A8</f>
        <v>Cylinder Block</v>
      </c>
      <c r="B14" s="48"/>
      <c r="C14" s="57">
        <f>Data!B8</f>
        <v>450</v>
      </c>
      <c r="D14" s="57">
        <f>Data!C8</f>
        <v>359</v>
      </c>
      <c r="E14" s="58">
        <f>Data!E8</f>
        <v>0.7977777778</v>
      </c>
      <c r="F14" s="59">
        <f>Data!D8</f>
        <v>-91</v>
      </c>
      <c r="G14" s="58">
        <f>Data!F8</f>
        <v>0.718</v>
      </c>
      <c r="H14" s="58">
        <f>Data!G8</f>
        <v>0.9</v>
      </c>
      <c r="I14" s="60">
        <f>Data!H8</f>
        <v>1.15</v>
      </c>
      <c r="J14" s="60">
        <f>Data!I8</f>
        <v>1.15</v>
      </c>
      <c r="K14" s="60">
        <f>Data!J8</f>
        <v>2</v>
      </c>
      <c r="L14" s="60">
        <f>Data!K8</f>
        <v>2</v>
      </c>
      <c r="M14" s="61">
        <f>Data!L8</f>
        <v>148.4</v>
      </c>
      <c r="N14" s="62" t="str">
        <f>Data!M8</f>
        <v>BELOW TARGET</v>
      </c>
      <c r="O14" s="55"/>
    </row>
    <row r="15">
      <c r="A15" s="46" t="str">
        <f>Data!A9</f>
        <v>Cylinder Head</v>
      </c>
      <c r="B15" s="48"/>
      <c r="C15" s="49">
        <f>Data!B9</f>
        <v>450</v>
      </c>
      <c r="D15" s="49">
        <f>Data!C9</f>
        <v>455</v>
      </c>
      <c r="E15" s="50">
        <f>Data!E9</f>
        <v>1.011111111</v>
      </c>
      <c r="F15" s="51">
        <f>Data!D9</f>
        <v>5</v>
      </c>
      <c r="G15" s="50">
        <f>Data!F9</f>
        <v>0.91</v>
      </c>
      <c r="H15" s="50">
        <f>Data!G9</f>
        <v>0.9</v>
      </c>
      <c r="I15" s="52">
        <f>Data!H9</f>
        <v>1.15</v>
      </c>
      <c r="J15" s="52">
        <f>Data!I9</f>
        <v>1.15</v>
      </c>
      <c r="K15" s="52">
        <f>Data!J9</f>
        <v>2</v>
      </c>
      <c r="L15" s="52">
        <f>Data!K9</f>
        <v>2</v>
      </c>
      <c r="M15" s="53">
        <f>Data!L9</f>
        <v>32.2</v>
      </c>
      <c r="N15" s="54" t="str">
        <f>Data!M9</f>
        <v>ON TARGET</v>
      </c>
      <c r="O15" s="55"/>
    </row>
    <row r="16">
      <c r="A16" s="56" t="str">
        <f>Data!A10</f>
        <v>Crankshaft</v>
      </c>
      <c r="B16" s="48"/>
      <c r="C16" s="57">
        <f>Data!B10</f>
        <v>450</v>
      </c>
      <c r="D16" s="57">
        <f>Data!C10</f>
        <v>356</v>
      </c>
      <c r="E16" s="58">
        <f>Data!E10</f>
        <v>0.7911111111</v>
      </c>
      <c r="F16" s="59">
        <f>Data!D10</f>
        <v>-94</v>
      </c>
      <c r="G16" s="58">
        <f>Data!F10</f>
        <v>0.712</v>
      </c>
      <c r="H16" s="58">
        <f>Data!G10</f>
        <v>0.9</v>
      </c>
      <c r="I16" s="60">
        <f>Data!H10</f>
        <v>1.15</v>
      </c>
      <c r="J16" s="60">
        <f>Data!I10</f>
        <v>1.15</v>
      </c>
      <c r="K16" s="60">
        <f>Data!J10</f>
        <v>0</v>
      </c>
      <c r="L16" s="60">
        <f>Data!K10</f>
        <v>2</v>
      </c>
      <c r="M16" s="61">
        <f>Data!L10</f>
        <v>36.8</v>
      </c>
      <c r="N16" s="62" t="str">
        <f>Data!M10</f>
        <v>BELOW TARGET</v>
      </c>
      <c r="O16" s="55"/>
    </row>
    <row r="17">
      <c r="A17" s="46" t="str">
        <f>Data!A11</f>
        <v>Camshaft</v>
      </c>
      <c r="B17" s="48"/>
      <c r="C17" s="49">
        <f>Data!B11</f>
        <v>326</v>
      </c>
      <c r="D17" s="49">
        <f>Data!C11</f>
        <v>331</v>
      </c>
      <c r="E17" s="50">
        <f>Data!E11</f>
        <v>1.015337423</v>
      </c>
      <c r="F17" s="51">
        <f>Data!D11</f>
        <v>5</v>
      </c>
      <c r="G17" s="50">
        <f>Data!F11</f>
        <v>0.946</v>
      </c>
      <c r="H17" s="50">
        <f>Data!G11</f>
        <v>0.93</v>
      </c>
      <c r="I17" s="52">
        <f>Data!H11</f>
        <v>1.3</v>
      </c>
      <c r="J17" s="52">
        <f>Data!I11</f>
        <v>1.3</v>
      </c>
      <c r="K17" s="52">
        <f>Data!J11</f>
        <v>0</v>
      </c>
      <c r="L17" s="52">
        <f>Data!K11</f>
        <v>0</v>
      </c>
      <c r="M17" s="53">
        <f>Data!L11</f>
        <v>7.8</v>
      </c>
      <c r="N17" s="54" t="str">
        <f>Data!M11</f>
        <v>ON TARGET</v>
      </c>
      <c r="O17" s="55"/>
    </row>
    <row r="18" ht="24.75" customHeight="1">
      <c r="A18" s="63" t="s">
        <v>42</v>
      </c>
      <c r="B18" s="64"/>
      <c r="C18" s="65">
        <f t="shared" ref="C18:D18" si="1">SUM(C13:C17)</f>
        <v>1823</v>
      </c>
      <c r="D18" s="65">
        <f t="shared" si="1"/>
        <v>1648</v>
      </c>
      <c r="E18" s="66">
        <f>IFERROR(D18/C18,0)</f>
        <v>0.9040043884</v>
      </c>
      <c r="F18" s="67">
        <f>SUM(F13:F17)</f>
        <v>-175</v>
      </c>
      <c r="G18" s="66">
        <f t="shared" ref="G18:H18" si="2">AVERAGE(G13:G17)</f>
        <v>0.8532</v>
      </c>
      <c r="H18" s="66">
        <f t="shared" si="2"/>
        <v>0.922</v>
      </c>
      <c r="I18" s="68" t="str">
        <f t="shared" ref="I18:J18" si="3">""</f>
        <v/>
      </c>
      <c r="J18" s="68" t="str">
        <f t="shared" si="3"/>
        <v/>
      </c>
      <c r="K18" s="69">
        <f t="shared" ref="K18:M18" si="4">SUM(K13:K17)</f>
        <v>4</v>
      </c>
      <c r="L18" s="69">
        <f t="shared" si="4"/>
        <v>6</v>
      </c>
      <c r="M18" s="70">
        <f t="shared" si="4"/>
        <v>228.2</v>
      </c>
      <c r="N18" s="68" t="str">
        <f>IF(G18&gt;=H18,"ON TARGET","BELOW TARGET")</f>
        <v>BELOW TARGET</v>
      </c>
      <c r="O18" s="71"/>
    </row>
    <row r="19" ht="7.5" customHeight="1"/>
    <row r="20" ht="7.5" customHeight="1"/>
    <row r="21" ht="24.0" customHeight="1">
      <c r="A21" s="16" t="s">
        <v>44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</row>
    <row r="22" ht="30.0" customHeight="1">
      <c r="A22" s="72" t="s">
        <v>45</v>
      </c>
      <c r="B22" s="48"/>
      <c r="C22" s="55"/>
      <c r="D22" s="72" t="s">
        <v>46</v>
      </c>
      <c r="E22" s="48"/>
      <c r="F22" s="55"/>
      <c r="G22" s="72" t="s">
        <v>47</v>
      </c>
      <c r="H22" s="48"/>
      <c r="I22" s="55"/>
      <c r="J22" s="72" t="s">
        <v>48</v>
      </c>
      <c r="K22" s="48"/>
      <c r="L22" s="55"/>
      <c r="M22" s="72" t="s">
        <v>49</v>
      </c>
      <c r="N22" s="48"/>
      <c r="O22" s="55"/>
    </row>
    <row r="23" ht="24.0" customHeight="1">
      <c r="A23" s="73" t="s">
        <v>40</v>
      </c>
      <c r="B23" s="73" t="s">
        <v>50</v>
      </c>
      <c r="C23" s="73" t="s">
        <v>17</v>
      </c>
      <c r="D23" s="73" t="s">
        <v>40</v>
      </c>
      <c r="E23" s="73" t="s">
        <v>50</v>
      </c>
      <c r="F23" s="73" t="s">
        <v>17</v>
      </c>
      <c r="G23" s="73" t="s">
        <v>40</v>
      </c>
      <c r="H23" s="73" t="s">
        <v>50</v>
      </c>
      <c r="I23" s="73" t="s">
        <v>17</v>
      </c>
      <c r="J23" s="73" t="s">
        <v>40</v>
      </c>
      <c r="K23" s="73" t="s">
        <v>50</v>
      </c>
      <c r="L23" s="73" t="s">
        <v>17</v>
      </c>
      <c r="M23" s="73" t="s">
        <v>40</v>
      </c>
      <c r="N23" s="73" t="s">
        <v>50</v>
      </c>
      <c r="O23" s="73" t="s">
        <v>17</v>
      </c>
    </row>
    <row r="24" ht="25.5" customHeight="1">
      <c r="A24" s="74" t="str">
        <f>Data!B16</f>
        <v>1TR</v>
      </c>
      <c r="B24" s="74" t="str">
        <f>Data!C16&amp;" / "&amp;Data!D16</f>
        <v>14 / 12</v>
      </c>
      <c r="C24" s="75">
        <f>Data!E16</f>
        <v>-2</v>
      </c>
      <c r="D24" s="74" t="str">
        <f>Data!B18</f>
        <v>1TR</v>
      </c>
      <c r="E24" s="74" t="str">
        <f>Data!C18&amp;" / "&amp;Data!D18</f>
        <v>54 / 43</v>
      </c>
      <c r="F24" s="75">
        <f>Data!E18</f>
        <v>-11</v>
      </c>
      <c r="G24" s="74" t="str">
        <f>Data!B20</f>
        <v>1TR</v>
      </c>
      <c r="H24" s="74" t="str">
        <f>Data!C20&amp;" / "&amp;Data!D20</f>
        <v>46 / 44</v>
      </c>
      <c r="I24" s="75">
        <f>Data!E20</f>
        <v>-2</v>
      </c>
      <c r="J24" s="74" t="str">
        <f>Data!B22</f>
        <v>1TR</v>
      </c>
      <c r="K24" s="74" t="str">
        <f>Data!C22&amp;" / "&amp;Data!D22</f>
        <v>47 / 84</v>
      </c>
      <c r="L24" s="75">
        <f>Data!E22</f>
        <v>37</v>
      </c>
      <c r="M24" s="74" t="str">
        <f>Data!B24</f>
        <v>IN</v>
      </c>
      <c r="N24" s="74" t="str">
        <f>Data!C24&amp;" / "&amp;Data!D24</f>
        <v>326 / 331</v>
      </c>
      <c r="O24" s="75">
        <f>Data!E24</f>
        <v>5</v>
      </c>
    </row>
    <row r="25" ht="25.5" customHeight="1">
      <c r="A25" s="76" t="str">
        <f>Data!B17</f>
        <v>2TR</v>
      </c>
      <c r="B25" s="76" t="str">
        <f>Data!C17&amp;" / "&amp;Data!D17</f>
        <v>133 / 135</v>
      </c>
      <c r="C25" s="77">
        <f>Data!E17</f>
        <v>2</v>
      </c>
      <c r="D25" s="76" t="str">
        <f>Data!B19</f>
        <v>2TR</v>
      </c>
      <c r="E25" s="76" t="str">
        <f>Data!C19&amp;" / "&amp;Data!D19</f>
        <v>396 / 316</v>
      </c>
      <c r="F25" s="77">
        <f>Data!E19</f>
        <v>-80</v>
      </c>
      <c r="G25" s="76" t="str">
        <f>Data!B21</f>
        <v>2TR</v>
      </c>
      <c r="H25" s="76" t="str">
        <f>Data!C21&amp;" / "&amp;Data!D21</f>
        <v>404 / 411</v>
      </c>
      <c r="I25" s="77">
        <f>Data!E21</f>
        <v>7</v>
      </c>
      <c r="J25" s="76" t="str">
        <f>Data!B23</f>
        <v>2TR</v>
      </c>
      <c r="K25" s="76" t="str">
        <f>Data!C23&amp;" / "&amp;Data!D23</f>
        <v>403 / 272</v>
      </c>
      <c r="L25" s="77">
        <f>Data!E23</f>
        <v>-131</v>
      </c>
      <c r="M25" s="76" t="str">
        <f>Data!B25</f>
        <v>EX</v>
      </c>
      <c r="N25" s="76" t="str">
        <f>Data!C25&amp;" / "&amp;Data!D25</f>
        <v>326 / 331</v>
      </c>
      <c r="O25" s="77">
        <f>Data!E25</f>
        <v>5</v>
      </c>
    </row>
    <row r="26" ht="7.5" customHeight="1"/>
    <row r="27" ht="24.0" customHeight="1">
      <c r="A27" s="16" t="s">
        <v>59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ht="30.0" customHeight="1">
      <c r="A28" s="72" t="s">
        <v>10</v>
      </c>
      <c r="B28" s="48"/>
      <c r="C28" s="55"/>
      <c r="D28" s="79" t="s">
        <v>55</v>
      </c>
      <c r="E28" s="48"/>
      <c r="F28" s="48"/>
      <c r="G28" s="48"/>
      <c r="H28" s="48"/>
      <c r="I28" s="48"/>
      <c r="J28" s="48"/>
      <c r="K28" s="55"/>
      <c r="L28" s="79" t="s">
        <v>56</v>
      </c>
      <c r="M28" s="55"/>
      <c r="N28" s="79" t="s">
        <v>54</v>
      </c>
      <c r="O28" s="55"/>
    </row>
    <row r="29" ht="24.0" customHeight="1">
      <c r="A29" s="80" t="str">
        <f>Data!B30</f>
        <v>Assy</v>
      </c>
      <c r="B29" s="4"/>
      <c r="C29" s="5"/>
      <c r="D29" s="81" t="str">
        <f>Data!C30</f>
        <v>Machine stop</v>
      </c>
      <c r="E29" s="48"/>
      <c r="F29" s="48"/>
      <c r="G29" s="48"/>
      <c r="H29" s="48"/>
      <c r="I29" s="48"/>
      <c r="J29" s="48"/>
      <c r="K29" s="55"/>
      <c r="L29" s="82">
        <f>Data!D30</f>
        <v>12</v>
      </c>
      <c r="M29" s="55"/>
      <c r="N29" s="54" t="str">
        <f>Data!A30</f>
        <v>AV</v>
      </c>
      <c r="O29" s="55"/>
    </row>
    <row r="30" ht="24.0" customHeight="1">
      <c r="A30" s="17"/>
      <c r="B30" s="19"/>
      <c r="C30" s="20"/>
      <c r="D30" s="81" t="str">
        <f>Data!C31</f>
        <v>Waiting material</v>
      </c>
      <c r="E30" s="48"/>
      <c r="F30" s="48"/>
      <c r="G30" s="48"/>
      <c r="H30" s="48"/>
      <c r="I30" s="48"/>
      <c r="J30" s="48"/>
      <c r="K30" s="55"/>
      <c r="L30" s="82">
        <f>Data!D31</f>
        <v>6</v>
      </c>
      <c r="M30" s="55"/>
      <c r="N30" s="54" t="str">
        <f>Data!A31</f>
        <v>PE</v>
      </c>
      <c r="O30" s="55"/>
    </row>
    <row r="31" ht="24.0" customHeight="1">
      <c r="A31" s="83" t="str">
        <f>Data!B32</f>
        <v>Cylinder Block</v>
      </c>
      <c r="B31" s="4"/>
      <c r="C31" s="5"/>
      <c r="D31" s="81" t="str">
        <f>Data!C32</f>
        <v>Tool abnormality</v>
      </c>
      <c r="E31" s="48"/>
      <c r="F31" s="48"/>
      <c r="G31" s="48"/>
      <c r="H31" s="48"/>
      <c r="I31" s="48"/>
      <c r="J31" s="48"/>
      <c r="K31" s="55"/>
      <c r="L31" s="82">
        <f>Data!D32</f>
        <v>4</v>
      </c>
      <c r="M31" s="55"/>
      <c r="N31" s="54" t="str">
        <f>Data!A32</f>
        <v>AV</v>
      </c>
      <c r="O31" s="55"/>
    </row>
    <row r="32" ht="24.0" customHeight="1">
      <c r="A32" s="17"/>
      <c r="B32" s="19"/>
      <c r="C32" s="20"/>
      <c r="D32" s="81" t="str">
        <f>Data!C33</f>
        <v>Tool change</v>
      </c>
      <c r="E32" s="48"/>
      <c r="F32" s="48"/>
      <c r="G32" s="48"/>
      <c r="H32" s="48"/>
      <c r="I32" s="48"/>
      <c r="J32" s="48"/>
      <c r="K32" s="55"/>
      <c r="L32" s="82">
        <f>Data!D33</f>
        <v>7</v>
      </c>
      <c r="M32" s="55"/>
      <c r="N32" s="54" t="str">
        <f>Data!A33</f>
        <v>PE</v>
      </c>
      <c r="O32" s="55"/>
    </row>
    <row r="33" ht="24.0" customHeight="1">
      <c r="A33" s="84" t="str">
        <f>Data!B34</f>
        <v>Cylinder Head</v>
      </c>
      <c r="B33" s="48"/>
      <c r="C33" s="55"/>
      <c r="D33" s="81" t="str">
        <f>Data!C34</f>
        <v>Casting defect</v>
      </c>
      <c r="E33" s="48"/>
      <c r="F33" s="48"/>
      <c r="G33" s="48"/>
      <c r="H33" s="48"/>
      <c r="I33" s="48"/>
      <c r="J33" s="48"/>
      <c r="K33" s="55"/>
      <c r="L33" s="82">
        <f>Data!D34</f>
        <v>8</v>
      </c>
      <c r="M33" s="55"/>
      <c r="N33" s="54" t="str">
        <f>Data!A34</f>
        <v>RQ</v>
      </c>
      <c r="O33" s="55"/>
    </row>
    <row r="34" ht="24.0" customHeight="1">
      <c r="A34" s="83" t="str">
        <f>Data!B35</f>
        <v>Crankshaft</v>
      </c>
      <c r="B34" s="4"/>
      <c r="C34" s="5"/>
      <c r="D34" s="81" t="str">
        <f>Data!C35</f>
        <v>Machine adjustment</v>
      </c>
      <c r="E34" s="48"/>
      <c r="F34" s="48"/>
      <c r="G34" s="48"/>
      <c r="H34" s="48"/>
      <c r="I34" s="48"/>
      <c r="J34" s="48"/>
      <c r="K34" s="55"/>
      <c r="L34" s="82">
        <f>Data!D35</f>
        <v>15</v>
      </c>
      <c r="M34" s="55"/>
      <c r="N34" s="54" t="str">
        <f>Data!A35</f>
        <v>AV</v>
      </c>
      <c r="O34" s="55"/>
    </row>
    <row r="35" ht="24.0" customHeight="1">
      <c r="A35" s="17"/>
      <c r="B35" s="19"/>
      <c r="C35" s="20"/>
      <c r="D35" s="81" t="str">
        <f>Data!C36</f>
        <v>Quality confirmation</v>
      </c>
      <c r="E35" s="48"/>
      <c r="F35" s="48"/>
      <c r="G35" s="48"/>
      <c r="H35" s="48"/>
      <c r="I35" s="48"/>
      <c r="J35" s="48"/>
      <c r="K35" s="55"/>
      <c r="L35" s="82">
        <f>Data!D36</f>
        <v>7</v>
      </c>
      <c r="M35" s="55"/>
      <c r="N35" s="54" t="str">
        <f>Data!A36</f>
        <v>RQ</v>
      </c>
      <c r="O35" s="55"/>
    </row>
    <row r="36" ht="24.0" customHeight="1">
      <c r="A36" s="80" t="str">
        <f>Data!B37</f>
        <v>Camshaft</v>
      </c>
      <c r="B36" s="4"/>
      <c r="C36" s="5"/>
      <c r="D36" s="81" t="str">
        <f>Data!C37</f>
        <v>Process confirmation</v>
      </c>
      <c r="E36" s="48"/>
      <c r="F36" s="48"/>
      <c r="G36" s="48"/>
      <c r="H36" s="48"/>
      <c r="I36" s="48"/>
      <c r="J36" s="48"/>
      <c r="K36" s="55"/>
      <c r="L36" s="82">
        <f>Data!D37</f>
        <v>5</v>
      </c>
      <c r="M36" s="55"/>
      <c r="N36" s="54" t="str">
        <f>Data!A37</f>
        <v>PE</v>
      </c>
      <c r="O36" s="55"/>
    </row>
    <row r="37" ht="24.0" customHeight="1">
      <c r="A37" s="17"/>
      <c r="B37" s="19"/>
      <c r="C37" s="20"/>
      <c r="D37" s="81" t="str">
        <f>Data!C38</f>
        <v>Surface defect</v>
      </c>
      <c r="E37" s="48"/>
      <c r="F37" s="48"/>
      <c r="G37" s="48"/>
      <c r="H37" s="48"/>
      <c r="I37" s="48"/>
      <c r="J37" s="48"/>
      <c r="K37" s="55"/>
      <c r="L37" s="82">
        <f>Data!D38</f>
        <v>3</v>
      </c>
      <c r="M37" s="55"/>
      <c r="N37" s="54" t="str">
        <f>Data!A38</f>
        <v>RQ</v>
      </c>
      <c r="O37" s="55"/>
    </row>
    <row r="38" ht="7.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8">
    <mergeCell ref="A28:C28"/>
    <mergeCell ref="D28:K28"/>
    <mergeCell ref="L28:M28"/>
    <mergeCell ref="N28:O28"/>
    <mergeCell ref="A29:C30"/>
    <mergeCell ref="L29:M29"/>
    <mergeCell ref="N29:O29"/>
    <mergeCell ref="D33:K33"/>
    <mergeCell ref="D34:K34"/>
    <mergeCell ref="L34:M34"/>
    <mergeCell ref="N34:O34"/>
    <mergeCell ref="L33:M33"/>
    <mergeCell ref="L35:M35"/>
    <mergeCell ref="N35:O35"/>
    <mergeCell ref="L36:M36"/>
    <mergeCell ref="N36:O36"/>
    <mergeCell ref="L30:M30"/>
    <mergeCell ref="N30:O30"/>
    <mergeCell ref="L31:M31"/>
    <mergeCell ref="N31:O31"/>
    <mergeCell ref="L32:M32"/>
    <mergeCell ref="N32:O32"/>
    <mergeCell ref="N33:O33"/>
    <mergeCell ref="A34:C35"/>
    <mergeCell ref="A36:C37"/>
    <mergeCell ref="D36:K36"/>
    <mergeCell ref="D37:K37"/>
    <mergeCell ref="L37:M37"/>
    <mergeCell ref="N37:O37"/>
    <mergeCell ref="D29:K29"/>
    <mergeCell ref="D30:K30"/>
    <mergeCell ref="A31:C32"/>
    <mergeCell ref="D31:K31"/>
    <mergeCell ref="D32:K32"/>
    <mergeCell ref="A33:C33"/>
    <mergeCell ref="D35:K35"/>
    <mergeCell ref="A1:K2"/>
    <mergeCell ref="L1:O2"/>
    <mergeCell ref="A3:E3"/>
    <mergeCell ref="F3:J3"/>
    <mergeCell ref="K3:O3"/>
    <mergeCell ref="F4:J5"/>
    <mergeCell ref="K4:O5"/>
    <mergeCell ref="A4:E5"/>
    <mergeCell ref="A7:B7"/>
    <mergeCell ref="C7:D7"/>
    <mergeCell ref="E7:G7"/>
    <mergeCell ref="H7:J7"/>
    <mergeCell ref="K7:M7"/>
    <mergeCell ref="N7:O7"/>
    <mergeCell ref="N8:O9"/>
    <mergeCell ref="N12:O12"/>
    <mergeCell ref="N17:O17"/>
    <mergeCell ref="N18:O18"/>
    <mergeCell ref="A8:B9"/>
    <mergeCell ref="C8:D9"/>
    <mergeCell ref="E8:G9"/>
    <mergeCell ref="H8:J9"/>
    <mergeCell ref="K8:M9"/>
    <mergeCell ref="A11:O11"/>
    <mergeCell ref="A12:B12"/>
    <mergeCell ref="A16:B16"/>
    <mergeCell ref="A17:B17"/>
    <mergeCell ref="A18:B18"/>
    <mergeCell ref="A13:B13"/>
    <mergeCell ref="N13:O13"/>
    <mergeCell ref="A14:B14"/>
    <mergeCell ref="N14:O14"/>
    <mergeCell ref="A15:B15"/>
    <mergeCell ref="N15:O15"/>
    <mergeCell ref="N16:O16"/>
    <mergeCell ref="A21:O21"/>
    <mergeCell ref="A22:C22"/>
    <mergeCell ref="D22:F22"/>
    <mergeCell ref="G22:I22"/>
    <mergeCell ref="J22:L22"/>
    <mergeCell ref="M22:O22"/>
    <mergeCell ref="A27:O27"/>
  </mergeCells>
  <conditionalFormatting sqref="E13:E18">
    <cfRule type="cellIs" dxfId="7" priority="1" operator="lessThan">
      <formula>1</formula>
    </cfRule>
  </conditionalFormatting>
  <conditionalFormatting sqref="E13:E18">
    <cfRule type="cellIs" dxfId="6" priority="2" operator="greaterThanOrEqual">
      <formula>1</formula>
    </cfRule>
  </conditionalFormatting>
  <conditionalFormatting sqref="F13:F18">
    <cfRule type="cellIs" dxfId="5" priority="3" operator="lessThan">
      <formula>0</formula>
    </cfRule>
  </conditionalFormatting>
  <conditionalFormatting sqref="F13:F18">
    <cfRule type="cellIs" dxfId="6" priority="4" operator="greaterThanOrEqual">
      <formula>0</formula>
    </cfRule>
  </conditionalFormatting>
  <conditionalFormatting sqref="N13:O18">
    <cfRule type="containsText" dxfId="6" priority="5" operator="containsText" text="ON TARGET">
      <formula>NOT(ISERROR(SEARCH(("ON TARGET"),(N13))))</formula>
    </cfRule>
  </conditionalFormatting>
  <conditionalFormatting sqref="N13:O18">
    <cfRule type="containsText" dxfId="5" priority="6" operator="containsText" text="BELOW TARGET">
      <formula>NOT(ISERROR(SEARCH(("BELOW TARGET"),(N13))))</formula>
    </cfRule>
  </conditionalFormatting>
  <conditionalFormatting sqref="C24:C25">
    <cfRule type="cellIs" dxfId="5" priority="7" operator="lessThan">
      <formula>0</formula>
    </cfRule>
  </conditionalFormatting>
  <conditionalFormatting sqref="C24:C25">
    <cfRule type="cellIs" dxfId="6" priority="8" operator="greaterThanOrEqual">
      <formula>0</formula>
    </cfRule>
  </conditionalFormatting>
  <conditionalFormatting sqref="F24:F25">
    <cfRule type="cellIs" dxfId="5" priority="9" operator="lessThan">
      <formula>0</formula>
    </cfRule>
  </conditionalFormatting>
  <conditionalFormatting sqref="F24:F25">
    <cfRule type="cellIs" dxfId="6" priority="10" operator="greaterThanOrEqual">
      <formula>0</formula>
    </cfRule>
  </conditionalFormatting>
  <conditionalFormatting sqref="I24:I25">
    <cfRule type="cellIs" dxfId="5" priority="11" operator="lessThan">
      <formula>0</formula>
    </cfRule>
  </conditionalFormatting>
  <conditionalFormatting sqref="I24:I25">
    <cfRule type="cellIs" dxfId="6" priority="12" operator="greaterThanOrEqual">
      <formula>0</formula>
    </cfRule>
  </conditionalFormatting>
  <conditionalFormatting sqref="L24:L25">
    <cfRule type="cellIs" dxfId="5" priority="13" operator="lessThan">
      <formula>0</formula>
    </cfRule>
  </conditionalFormatting>
  <conditionalFormatting sqref="L24:L25">
    <cfRule type="cellIs" dxfId="6" priority="14" operator="greaterThanOrEqual">
      <formula>0</formula>
    </cfRule>
  </conditionalFormatting>
  <conditionalFormatting sqref="O24:O25">
    <cfRule type="cellIs" dxfId="5" priority="15" operator="lessThan">
      <formula>0</formula>
    </cfRule>
  </conditionalFormatting>
  <conditionalFormatting sqref="O24:O25">
    <cfRule type="cellIs" dxfId="6" priority="16" operator="greaterThanOrEqual">
      <formula>0</formula>
    </cfRule>
  </conditionalFormatting>
  <conditionalFormatting sqref="N29:O37">
    <cfRule type="containsText" dxfId="5" priority="17" operator="containsText" text="AV">
      <formula>NOT(ISERROR(SEARCH(("AV"),(N29))))</formula>
    </cfRule>
  </conditionalFormatting>
  <conditionalFormatting sqref="N29:O37">
    <cfRule type="containsText" dxfId="7" priority="18" operator="containsText" text="PE">
      <formula>NOT(ISERROR(SEARCH(("PE"),(N29))))</formula>
    </cfRule>
  </conditionalFormatting>
  <conditionalFormatting sqref="N29:O37">
    <cfRule type="containsText" dxfId="8" priority="19" operator="containsText" text="RQ">
      <formula>NOT(ISERROR(SEARCH(("RQ"),(N29))))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1.0"/>
    <col customWidth="1" min="2" max="3" width="17.0"/>
    <col customWidth="1" min="4" max="4" width="15.0"/>
    <col customWidth="1" min="5" max="5" width="16.0"/>
    <col customWidth="1" min="6" max="7" width="15.0"/>
    <col customWidth="1" min="8" max="11" width="13.0"/>
    <col customWidth="1" min="12" max="12" width="16.0"/>
    <col customWidth="1" min="13" max="13" width="17.0"/>
    <col customWidth="1" min="14" max="26" width="8.71"/>
  </cols>
  <sheetData>
    <row r="1" ht="30.0" customHeight="1">
      <c r="A1" s="1" t="s">
        <v>5</v>
      </c>
    </row>
    <row r="2" ht="19.5" customHeight="1">
      <c r="A2" s="7" t="s">
        <v>6</v>
      </c>
      <c r="G2" s="9" t="s">
        <v>7</v>
      </c>
    </row>
    <row r="3" ht="24.0" customHeight="1">
      <c r="A3" s="10" t="s">
        <v>2</v>
      </c>
      <c r="B3" s="11">
        <v>46227.0</v>
      </c>
      <c r="C3" s="10" t="s">
        <v>3</v>
      </c>
      <c r="D3" s="13" t="s">
        <v>8</v>
      </c>
      <c r="E3" s="10" t="s">
        <v>4</v>
      </c>
      <c r="F3" s="14">
        <v>46227.3875</v>
      </c>
    </row>
    <row r="5" ht="24.0" customHeight="1">
      <c r="A5" s="16" t="s">
        <v>9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ht="31.5" customHeight="1">
      <c r="A6" s="23" t="s">
        <v>10</v>
      </c>
      <c r="B6" s="23" t="s">
        <v>13</v>
      </c>
      <c r="C6" s="23" t="s">
        <v>15</v>
      </c>
      <c r="D6" s="23" t="s">
        <v>17</v>
      </c>
      <c r="E6" s="23" t="s">
        <v>19</v>
      </c>
      <c r="F6" s="23" t="s">
        <v>21</v>
      </c>
      <c r="G6" s="23" t="s">
        <v>22</v>
      </c>
      <c r="H6" s="23" t="s">
        <v>23</v>
      </c>
      <c r="I6" s="23" t="s">
        <v>24</v>
      </c>
      <c r="J6" s="23" t="s">
        <v>25</v>
      </c>
      <c r="K6" s="23" t="s">
        <v>26</v>
      </c>
      <c r="L6" s="23" t="s">
        <v>27</v>
      </c>
      <c r="M6" s="23" t="s">
        <v>28</v>
      </c>
    </row>
    <row r="7" ht="22.5" customHeight="1">
      <c r="A7" s="35" t="s">
        <v>29</v>
      </c>
      <c r="B7" s="37">
        <v>147.0</v>
      </c>
      <c r="C7" s="37">
        <v>147.0</v>
      </c>
      <c r="D7" s="38">
        <f t="shared" ref="D7:D11" si="1">C7-B7</f>
        <v>0</v>
      </c>
      <c r="E7" s="42">
        <f t="shared" ref="E7:E11" si="2">IFERROR(C7/B7,0)</f>
        <v>1</v>
      </c>
      <c r="F7" s="43">
        <v>0.98</v>
      </c>
      <c r="G7" s="43">
        <v>0.98</v>
      </c>
      <c r="H7" s="44">
        <v>3.0</v>
      </c>
      <c r="I7" s="44">
        <v>3.0</v>
      </c>
      <c r="J7" s="44">
        <v>0.0</v>
      </c>
      <c r="K7" s="44">
        <v>0.0</v>
      </c>
      <c r="L7" s="45">
        <v>3.0</v>
      </c>
      <c r="M7" s="47" t="str">
        <f t="shared" ref="M7:M11" si="3">IF(F7&gt;=G7,"ON TARGET","BELOW TARGET")</f>
        <v>ON TARGET</v>
      </c>
    </row>
    <row r="8" ht="22.5" customHeight="1">
      <c r="A8" s="35" t="s">
        <v>35</v>
      </c>
      <c r="B8" s="37">
        <v>450.0</v>
      </c>
      <c r="C8" s="37">
        <v>359.0</v>
      </c>
      <c r="D8" s="38">
        <f t="shared" si="1"/>
        <v>-91</v>
      </c>
      <c r="E8" s="42">
        <f t="shared" si="2"/>
        <v>0.7977777778</v>
      </c>
      <c r="F8" s="43">
        <v>0.718</v>
      </c>
      <c r="G8" s="43">
        <v>0.9</v>
      </c>
      <c r="H8" s="44">
        <v>1.15</v>
      </c>
      <c r="I8" s="44">
        <v>1.15</v>
      </c>
      <c r="J8" s="44">
        <v>2.0</v>
      </c>
      <c r="K8" s="44">
        <v>2.0</v>
      </c>
      <c r="L8" s="45">
        <v>148.4</v>
      </c>
      <c r="M8" s="47" t="str">
        <f t="shared" si="3"/>
        <v>BELOW TARGET</v>
      </c>
    </row>
    <row r="9" ht="22.5" customHeight="1">
      <c r="A9" s="35" t="s">
        <v>36</v>
      </c>
      <c r="B9" s="37">
        <v>450.0</v>
      </c>
      <c r="C9" s="37">
        <v>455.0</v>
      </c>
      <c r="D9" s="38">
        <f t="shared" si="1"/>
        <v>5</v>
      </c>
      <c r="E9" s="42">
        <f t="shared" si="2"/>
        <v>1.011111111</v>
      </c>
      <c r="F9" s="43">
        <v>0.91</v>
      </c>
      <c r="G9" s="43">
        <v>0.9</v>
      </c>
      <c r="H9" s="44">
        <v>1.15</v>
      </c>
      <c r="I9" s="44">
        <v>1.15</v>
      </c>
      <c r="J9" s="44">
        <v>2.0</v>
      </c>
      <c r="K9" s="44">
        <v>2.0</v>
      </c>
      <c r="L9" s="45">
        <v>32.2</v>
      </c>
      <c r="M9" s="47" t="str">
        <f t="shared" si="3"/>
        <v>ON TARGET</v>
      </c>
    </row>
    <row r="10" ht="22.5" customHeight="1">
      <c r="A10" s="35" t="s">
        <v>37</v>
      </c>
      <c r="B10" s="37">
        <v>450.0</v>
      </c>
      <c r="C10" s="37">
        <v>356.0</v>
      </c>
      <c r="D10" s="38">
        <f t="shared" si="1"/>
        <v>-94</v>
      </c>
      <c r="E10" s="42">
        <f t="shared" si="2"/>
        <v>0.7911111111</v>
      </c>
      <c r="F10" s="43">
        <v>0.712</v>
      </c>
      <c r="G10" s="43">
        <v>0.9</v>
      </c>
      <c r="H10" s="44">
        <v>1.15</v>
      </c>
      <c r="I10" s="44">
        <v>1.15</v>
      </c>
      <c r="J10" s="44">
        <v>0.0</v>
      </c>
      <c r="K10" s="44">
        <v>2.0</v>
      </c>
      <c r="L10" s="45">
        <v>36.8</v>
      </c>
      <c r="M10" s="47" t="str">
        <f t="shared" si="3"/>
        <v>BELOW TARGET</v>
      </c>
    </row>
    <row r="11" ht="22.5" customHeight="1">
      <c r="A11" s="35" t="s">
        <v>38</v>
      </c>
      <c r="B11" s="37">
        <v>326.0</v>
      </c>
      <c r="C11" s="37">
        <v>331.0</v>
      </c>
      <c r="D11" s="38">
        <f t="shared" si="1"/>
        <v>5</v>
      </c>
      <c r="E11" s="42">
        <f t="shared" si="2"/>
        <v>1.015337423</v>
      </c>
      <c r="F11" s="43">
        <v>0.946</v>
      </c>
      <c r="G11" s="43">
        <v>0.93</v>
      </c>
      <c r="H11" s="44">
        <v>1.3</v>
      </c>
      <c r="I11" s="44">
        <v>1.3</v>
      </c>
      <c r="J11" s="44">
        <v>0.0</v>
      </c>
      <c r="K11" s="44">
        <v>0.0</v>
      </c>
      <c r="L11" s="45">
        <v>7.8</v>
      </c>
      <c r="M11" s="47" t="str">
        <f t="shared" si="3"/>
        <v>ON TARGET</v>
      </c>
    </row>
    <row r="14" ht="24.0" customHeight="1">
      <c r="A14" s="16" t="s">
        <v>39</v>
      </c>
      <c r="B14" s="18"/>
      <c r="C14" s="18"/>
      <c r="D14" s="18"/>
      <c r="E14" s="18"/>
      <c r="F14" s="18"/>
    </row>
    <row r="15" ht="30.0" customHeight="1">
      <c r="A15" s="23" t="s">
        <v>10</v>
      </c>
      <c r="B15" s="23" t="s">
        <v>40</v>
      </c>
      <c r="C15" s="23" t="s">
        <v>13</v>
      </c>
      <c r="D15" s="23" t="s">
        <v>15</v>
      </c>
      <c r="E15" s="23" t="s">
        <v>17</v>
      </c>
      <c r="F15" s="23" t="s">
        <v>19</v>
      </c>
    </row>
    <row r="16" ht="22.5" customHeight="1">
      <c r="A16" s="35" t="s">
        <v>29</v>
      </c>
      <c r="B16" s="35" t="s">
        <v>41</v>
      </c>
      <c r="C16" s="37">
        <v>14.0</v>
      </c>
      <c r="D16" s="37">
        <v>12.0</v>
      </c>
      <c r="E16" s="38">
        <f t="shared" ref="E16:E25" si="4">D16-C16</f>
        <v>-2</v>
      </c>
      <c r="F16" s="42">
        <f t="shared" ref="F16:F25" si="5">IFERROR(D16/C16,0)</f>
        <v>0.8571428571</v>
      </c>
    </row>
    <row r="17" ht="22.5" customHeight="1">
      <c r="A17" s="35" t="s">
        <v>29</v>
      </c>
      <c r="B17" s="35" t="s">
        <v>43</v>
      </c>
      <c r="C17" s="37">
        <v>133.0</v>
      </c>
      <c r="D17" s="37">
        <v>135.0</v>
      </c>
      <c r="E17" s="38">
        <f t="shared" si="4"/>
        <v>2</v>
      </c>
      <c r="F17" s="42">
        <f t="shared" si="5"/>
        <v>1.015037594</v>
      </c>
    </row>
    <row r="18" ht="22.5" customHeight="1">
      <c r="A18" s="35" t="s">
        <v>35</v>
      </c>
      <c r="B18" s="35" t="s">
        <v>41</v>
      </c>
      <c r="C18" s="37">
        <v>54.0</v>
      </c>
      <c r="D18" s="37">
        <v>43.0</v>
      </c>
      <c r="E18" s="38">
        <f t="shared" si="4"/>
        <v>-11</v>
      </c>
      <c r="F18" s="42">
        <f t="shared" si="5"/>
        <v>0.7962962963</v>
      </c>
    </row>
    <row r="19" ht="22.5" customHeight="1">
      <c r="A19" s="35" t="s">
        <v>35</v>
      </c>
      <c r="B19" s="35" t="s">
        <v>43</v>
      </c>
      <c r="C19" s="37">
        <v>396.0</v>
      </c>
      <c r="D19" s="37">
        <v>316.0</v>
      </c>
      <c r="E19" s="38">
        <f t="shared" si="4"/>
        <v>-80</v>
      </c>
      <c r="F19" s="42">
        <f t="shared" si="5"/>
        <v>0.797979798</v>
      </c>
    </row>
    <row r="20" ht="22.5" customHeight="1">
      <c r="A20" s="35" t="s">
        <v>36</v>
      </c>
      <c r="B20" s="35" t="s">
        <v>41</v>
      </c>
      <c r="C20" s="37">
        <v>46.0</v>
      </c>
      <c r="D20" s="37">
        <v>44.0</v>
      </c>
      <c r="E20" s="38">
        <f t="shared" si="4"/>
        <v>-2</v>
      </c>
      <c r="F20" s="42">
        <f t="shared" si="5"/>
        <v>0.9565217391</v>
      </c>
    </row>
    <row r="21" ht="22.5" customHeight="1">
      <c r="A21" s="35" t="s">
        <v>36</v>
      </c>
      <c r="B21" s="35" t="s">
        <v>43</v>
      </c>
      <c r="C21" s="37">
        <v>404.0</v>
      </c>
      <c r="D21" s="37">
        <v>411.0</v>
      </c>
      <c r="E21" s="38">
        <f t="shared" si="4"/>
        <v>7</v>
      </c>
      <c r="F21" s="42">
        <f t="shared" si="5"/>
        <v>1.017326733</v>
      </c>
    </row>
    <row r="22" ht="22.5" customHeight="1">
      <c r="A22" s="35" t="s">
        <v>37</v>
      </c>
      <c r="B22" s="35" t="s">
        <v>41</v>
      </c>
      <c r="C22" s="37">
        <v>47.0</v>
      </c>
      <c r="D22" s="37">
        <v>84.0</v>
      </c>
      <c r="E22" s="38">
        <f t="shared" si="4"/>
        <v>37</v>
      </c>
      <c r="F22" s="42">
        <f t="shared" si="5"/>
        <v>1.787234043</v>
      </c>
    </row>
    <row r="23" ht="22.5" customHeight="1">
      <c r="A23" s="35" t="s">
        <v>37</v>
      </c>
      <c r="B23" s="35" t="s">
        <v>43</v>
      </c>
      <c r="C23" s="37">
        <v>403.0</v>
      </c>
      <c r="D23" s="37">
        <v>272.0</v>
      </c>
      <c r="E23" s="38">
        <f t="shared" si="4"/>
        <v>-131</v>
      </c>
      <c r="F23" s="42">
        <f t="shared" si="5"/>
        <v>0.6749379653</v>
      </c>
    </row>
    <row r="24" ht="22.5" customHeight="1">
      <c r="A24" s="35" t="s">
        <v>38</v>
      </c>
      <c r="B24" s="35" t="s">
        <v>51</v>
      </c>
      <c r="C24" s="37">
        <v>326.0</v>
      </c>
      <c r="D24" s="37">
        <v>331.0</v>
      </c>
      <c r="E24" s="38">
        <f t="shared" si="4"/>
        <v>5</v>
      </c>
      <c r="F24" s="42">
        <f t="shared" si="5"/>
        <v>1.015337423</v>
      </c>
    </row>
    <row r="25" ht="22.5" customHeight="1">
      <c r="A25" s="35" t="s">
        <v>38</v>
      </c>
      <c r="B25" s="35" t="s">
        <v>52</v>
      </c>
      <c r="C25" s="37">
        <v>326.0</v>
      </c>
      <c r="D25" s="37">
        <v>331.0</v>
      </c>
      <c r="E25" s="38">
        <f t="shared" si="4"/>
        <v>5</v>
      </c>
      <c r="F25" s="42">
        <f t="shared" si="5"/>
        <v>1.015337423</v>
      </c>
    </row>
    <row r="26" ht="15.75" customHeight="1"/>
    <row r="27" ht="15.75" customHeight="1"/>
    <row r="28" ht="24.0" customHeight="1">
      <c r="A28" s="16" t="s">
        <v>53</v>
      </c>
      <c r="B28" s="18"/>
      <c r="C28" s="18"/>
      <c r="D28" s="18"/>
      <c r="E28" s="18"/>
    </row>
    <row r="29" ht="30.0" customHeight="1">
      <c r="A29" s="23" t="s">
        <v>54</v>
      </c>
      <c r="B29" s="23" t="s">
        <v>10</v>
      </c>
      <c r="C29" s="23" t="s">
        <v>55</v>
      </c>
      <c r="D29" s="23" t="s">
        <v>56</v>
      </c>
      <c r="E29" s="23" t="s">
        <v>57</v>
      </c>
    </row>
    <row r="30" ht="33.75" customHeight="1">
      <c r="A30" s="35" t="s">
        <v>58</v>
      </c>
      <c r="B30" s="35" t="s">
        <v>29</v>
      </c>
      <c r="C30" s="78" t="s">
        <v>60</v>
      </c>
      <c r="D30" s="45">
        <v>12.0</v>
      </c>
      <c r="E30" s="78" t="s">
        <v>61</v>
      </c>
    </row>
    <row r="31" ht="33.75" customHeight="1">
      <c r="A31" s="35" t="s">
        <v>62</v>
      </c>
      <c r="B31" s="35" t="s">
        <v>29</v>
      </c>
      <c r="C31" s="78" t="s">
        <v>63</v>
      </c>
      <c r="D31" s="45">
        <v>6.0</v>
      </c>
      <c r="E31" s="78" t="s">
        <v>64</v>
      </c>
    </row>
    <row r="32" ht="33.75" customHeight="1">
      <c r="A32" s="35" t="s">
        <v>58</v>
      </c>
      <c r="B32" s="35" t="s">
        <v>35</v>
      </c>
      <c r="C32" s="78" t="s">
        <v>65</v>
      </c>
      <c r="D32" s="45">
        <v>4.0</v>
      </c>
      <c r="E32" s="78" t="s">
        <v>66</v>
      </c>
    </row>
    <row r="33" ht="33.75" customHeight="1">
      <c r="A33" s="35" t="s">
        <v>62</v>
      </c>
      <c r="B33" s="35" t="s">
        <v>35</v>
      </c>
      <c r="C33" s="78" t="s">
        <v>67</v>
      </c>
      <c r="D33" s="45">
        <v>7.0</v>
      </c>
      <c r="E33" s="78" t="s">
        <v>68</v>
      </c>
    </row>
    <row r="34" ht="33.75" customHeight="1">
      <c r="A34" s="35" t="s">
        <v>69</v>
      </c>
      <c r="B34" s="35" t="s">
        <v>36</v>
      </c>
      <c r="C34" s="78" t="s">
        <v>70</v>
      </c>
      <c r="D34" s="45">
        <v>8.0</v>
      </c>
      <c r="E34" s="78" t="s">
        <v>71</v>
      </c>
    </row>
    <row r="35" ht="33.75" customHeight="1">
      <c r="A35" s="35" t="s">
        <v>58</v>
      </c>
      <c r="B35" s="35" t="s">
        <v>37</v>
      </c>
      <c r="C35" s="78" t="s">
        <v>72</v>
      </c>
      <c r="D35" s="45">
        <v>15.0</v>
      </c>
      <c r="E35" s="78" t="s">
        <v>73</v>
      </c>
    </row>
    <row r="36" ht="33.75" customHeight="1">
      <c r="A36" s="35" t="s">
        <v>69</v>
      </c>
      <c r="B36" s="35" t="s">
        <v>37</v>
      </c>
      <c r="C36" s="78" t="s">
        <v>74</v>
      </c>
      <c r="D36" s="45">
        <v>7.0</v>
      </c>
      <c r="E36" s="78" t="s">
        <v>75</v>
      </c>
    </row>
    <row r="37" ht="33.75" customHeight="1">
      <c r="A37" s="35" t="s">
        <v>62</v>
      </c>
      <c r="B37" s="35" t="s">
        <v>38</v>
      </c>
      <c r="C37" s="78" t="s">
        <v>76</v>
      </c>
      <c r="D37" s="45">
        <v>5.0</v>
      </c>
      <c r="E37" s="78" t="s">
        <v>77</v>
      </c>
    </row>
    <row r="38" ht="33.75" customHeight="1">
      <c r="A38" s="35" t="s">
        <v>69</v>
      </c>
      <c r="B38" s="35" t="s">
        <v>38</v>
      </c>
      <c r="C38" s="78" t="s">
        <v>78</v>
      </c>
      <c r="D38" s="45">
        <v>3.0</v>
      </c>
      <c r="E38" s="78" t="s">
        <v>79</v>
      </c>
    </row>
    <row r="39" ht="15.75" customHeight="1"/>
    <row r="40" ht="15.75" customHeight="1"/>
    <row r="41" ht="15.75" customHeight="1">
      <c r="A41" s="85" t="s">
        <v>80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5"/>
    </row>
    <row r="42" ht="15.75" customHeight="1">
      <c r="A42" s="17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20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9FDC80C-110C-4F87-862A-BEDAF0A0A10D}" filter="1" showAutoFilter="1">
      <autoFilter ref="$A$6:$M$11"/>
    </customSheetView>
    <customSheetView guid="{8F353F6E-8A2D-4241-B34E-4B6E25E0F955}" filter="1" showAutoFilter="1">
      <autoFilter ref="$A$29:$E$38"/>
    </customSheetView>
    <customSheetView guid="{7F0633F0-5BE3-4DB6-83F9-89A7D878D73C}" filter="1" showAutoFilter="1">
      <autoFilter ref="$A$15:$F$25"/>
    </customSheetView>
  </customSheetViews>
  <mergeCells count="7">
    <mergeCell ref="A1:M1"/>
    <mergeCell ref="A2:F2"/>
    <mergeCell ref="G2:M2"/>
    <mergeCell ref="A5:M5"/>
    <mergeCell ref="A14:F14"/>
    <mergeCell ref="A28:E28"/>
    <mergeCell ref="A41:M42"/>
  </mergeCells>
  <conditionalFormatting sqref="D7:D11">
    <cfRule type="cellIs" dxfId="5" priority="1" operator="lessThan">
      <formula>0</formula>
    </cfRule>
  </conditionalFormatting>
  <conditionalFormatting sqref="D7:D11">
    <cfRule type="cellIs" dxfId="6" priority="2" operator="greaterThanOrEqual">
      <formula>0</formula>
    </cfRule>
  </conditionalFormatting>
  <conditionalFormatting sqref="M7:M11">
    <cfRule type="containsText" dxfId="6" priority="3" operator="containsText" text="ON TARGET">
      <formula>NOT(ISERROR(SEARCH(("ON TARGET"),(M7))))</formula>
    </cfRule>
  </conditionalFormatting>
  <conditionalFormatting sqref="M7:M11">
    <cfRule type="containsText" dxfId="5" priority="4" operator="containsText" text="BELOW TARGET">
      <formula>NOT(ISERROR(SEARCH(("BELOW TARGET"),(M7))))</formula>
    </cfRule>
  </conditionalFormatting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